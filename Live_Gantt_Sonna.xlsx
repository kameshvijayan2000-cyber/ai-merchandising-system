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Gant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0000"/>
          <bgColor rgb="00FF0000"/>
        </patternFill>
      </fill>
    </dxf>
    <dxf>
      <fill>
        <patternFill patternType="solid">
          <fgColor rgb="008B0000"/>
          <bgColor rgb="008B0000"/>
        </patternFill>
      </fill>
    </dxf>
    <dxf>
      <fill>
        <patternFill patternType="solid">
          <fgColor rgb="0000B050"/>
          <bgColor rgb="0000B05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Live Production Gantt Chart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/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Tracker'!$E$6:$E$21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'Live Gantt Tracker'!$A$6:$A$21</f>
            </numRef>
          </cat>
          <val>
            <numRef>
              <f>'Live Gantt Tracker'!$D$6:$D$21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Name:</t>
        </is>
      </c>
      <c r="B1" t="inlineStr">
        <is>
          <t>Sonna</t>
        </is>
      </c>
    </row>
    <row r="2">
      <c r="A2" t="inlineStr">
        <is>
          <t>Dispatch Date:</t>
        </is>
      </c>
      <c r="B2" s="1" t="n">
        <v>46162</v>
      </c>
    </row>
    <row r="3">
      <c r="A3" t="inlineStr">
        <is>
          <t>Today:</t>
        </is>
      </c>
      <c r="B3">
        <f>TODAY()</f>
        <v/>
      </c>
    </row>
    <row r="5">
      <c r="A5" t="inlineStr">
        <is>
          <t>Activity</t>
        </is>
      </c>
      <c r="B5" t="inlineStr">
        <is>
          <t>Planned Start</t>
        </is>
      </c>
      <c r="C5" t="inlineStr">
        <is>
          <t>Planned End</t>
        </is>
      </c>
      <c r="D5" t="inlineStr">
        <is>
          <t>Duration</t>
        </is>
      </c>
      <c r="E5" t="inlineStr">
        <is>
          <t>Start Offset</t>
        </is>
      </c>
      <c r="F5" t="inlineStr">
        <is>
          <t>Status</t>
        </is>
      </c>
    </row>
    <row r="6">
      <c r="A6" t="inlineStr">
        <is>
          <t>Order receipt (Buyer PO)</t>
        </is>
      </c>
      <c r="B6" s="1" t="n">
        <v>46111</v>
      </c>
      <c r="C6" s="1" t="n">
        <v>46113</v>
      </c>
      <c r="D6" t="n">
        <v>2</v>
      </c>
      <c r="E6" t="n">
        <v>0</v>
      </c>
      <c r="F6">
        <f>IF(B6-TODAY()&lt;0,"Delayed",IF(B6-TODAY()&lt;=10,"Risk","On Track"))</f>
        <v/>
      </c>
    </row>
    <row r="7">
      <c r="A7" t="inlineStr">
        <is>
          <t>Consumption calculation</t>
        </is>
      </c>
      <c r="B7" s="1" t="n">
        <v>46113</v>
      </c>
      <c r="C7" s="1" t="n">
        <v>46115</v>
      </c>
      <c r="D7" t="n">
        <v>2</v>
      </c>
      <c r="E7" t="n">
        <v>2</v>
      </c>
      <c r="F7">
        <f>IF(B7-TODAY()&lt;0,"Delayed",IF(B7-TODAY()&lt;=10,"Risk","On Track"))</f>
        <v/>
      </c>
    </row>
    <row r="8">
      <c r="A8" t="inlineStr">
        <is>
          <t>BOM generation</t>
        </is>
      </c>
      <c r="B8" s="1" t="n">
        <v>46115</v>
      </c>
      <c r="C8" s="1" t="n">
        <v>46117</v>
      </c>
      <c r="D8" t="n">
        <v>2</v>
      </c>
      <c r="E8" t="n">
        <v>4</v>
      </c>
      <c r="F8">
        <f>IF(B8-TODAY()&lt;0,"Delayed",IF(B8-TODAY()&lt;=10,"Risk","On Track"))</f>
        <v/>
      </c>
    </row>
    <row r="9">
      <c r="A9" t="inlineStr">
        <is>
          <t>PO issue for Fabric, trims</t>
        </is>
      </c>
      <c r="B9" s="1" t="n">
        <v>46117</v>
      </c>
      <c r="C9" s="1" t="n">
        <v>46119</v>
      </c>
      <c r="D9" t="n">
        <v>2</v>
      </c>
      <c r="E9" t="n">
        <v>6</v>
      </c>
      <c r="F9">
        <f>IF(B9-TODAY()&lt;0,"Delayed",IF(B9-TODAY()&lt;=10,"Risk","On Track"))</f>
        <v/>
      </c>
    </row>
    <row r="10">
      <c r="A10" t="inlineStr">
        <is>
          <t>Size set submission</t>
        </is>
      </c>
      <c r="B10" s="1" t="n">
        <v>46119</v>
      </c>
      <c r="C10" s="1" t="n">
        <v>46121</v>
      </c>
      <c r="D10" t="n">
        <v>2</v>
      </c>
      <c r="E10" t="n">
        <v>8</v>
      </c>
      <c r="F10">
        <f>IF(B10-TODAY()&lt;0,"Delayed",IF(B10-TODAY()&lt;=10,"Risk","On Track"))</f>
        <v/>
      </c>
    </row>
    <row r="11">
      <c r="A11" t="inlineStr">
        <is>
          <t>Size set Comments</t>
        </is>
      </c>
      <c r="B11" s="1" t="n">
        <v>46121</v>
      </c>
      <c r="C11" s="1" t="n">
        <v>46123</v>
      </c>
      <c r="D11" t="n">
        <v>2</v>
      </c>
      <c r="E11" t="n">
        <v>10</v>
      </c>
      <c r="F11">
        <f>IF(B11-TODAY()&lt;0,"Delayed",IF(B11-TODAY()&lt;=10,"Risk","On Track"))</f>
        <v/>
      </c>
    </row>
    <row r="12">
      <c r="A12" t="inlineStr">
        <is>
          <t>PP meeting</t>
        </is>
      </c>
      <c r="B12" s="1" t="n">
        <v>46123</v>
      </c>
      <c r="C12" s="1" t="n">
        <v>46125</v>
      </c>
      <c r="D12" t="n">
        <v>2</v>
      </c>
      <c r="E12" t="n">
        <v>12</v>
      </c>
      <c r="F12">
        <f>IF(B12-TODAY()&lt;0,"Delayed",IF(B12-TODAY()&lt;=10,"Risk","On Track"))</f>
        <v/>
      </c>
    </row>
    <row r="13">
      <c r="A13" t="inlineStr">
        <is>
          <t>Production planning updates and circulation</t>
        </is>
      </c>
      <c r="B13" s="1" t="n">
        <v>46125</v>
      </c>
      <c r="C13" s="1" t="n">
        <v>46127</v>
      </c>
      <c r="D13" t="n">
        <v>2</v>
      </c>
      <c r="E13" t="n">
        <v>14</v>
      </c>
      <c r="F13">
        <f>IF(B13-TODAY()&lt;0,"Delayed",IF(B13-TODAY()&lt;=10,"Risk","On Track"))</f>
        <v/>
      </c>
    </row>
    <row r="14">
      <c r="A14" t="inlineStr">
        <is>
          <t>Fabric in-house</t>
        </is>
      </c>
      <c r="B14" s="1" t="n">
        <v>46127</v>
      </c>
      <c r="C14" s="1" t="n">
        <v>46135</v>
      </c>
      <c r="D14" t="n">
        <v>8</v>
      </c>
      <c r="E14" t="n">
        <v>16</v>
      </c>
      <c r="F14">
        <f>IF(B14-TODAY()&lt;0,"Delayed",IF(B14-TODAY()&lt;=10,"Risk","On Track"))</f>
        <v/>
      </c>
    </row>
    <row r="15">
      <c r="A15" t="inlineStr">
        <is>
          <t>Trims In-house</t>
        </is>
      </c>
      <c r="B15" s="1" t="n">
        <v>46135</v>
      </c>
      <c r="C15" s="1" t="n">
        <v>46137</v>
      </c>
      <c r="D15" t="n">
        <v>2</v>
      </c>
      <c r="E15" t="n">
        <v>24</v>
      </c>
      <c r="F15">
        <f>IF(B15-TODAY()&lt;0,"Delayed",IF(B15-TODAY()&lt;=10,"Risk","On Track"))</f>
        <v/>
      </c>
    </row>
    <row r="16">
      <c r="A16" t="inlineStr">
        <is>
          <t>Cutting</t>
        </is>
      </c>
      <c r="B16" s="1" t="n">
        <v>46137</v>
      </c>
      <c r="C16" s="1" t="n">
        <v>46139</v>
      </c>
      <c r="D16" t="n">
        <v>2</v>
      </c>
      <c r="E16" t="n">
        <v>26</v>
      </c>
      <c r="F16">
        <f>IF(B16-TODAY()&lt;0,"Delayed",IF(B16-TODAY()&lt;=10,"Risk","On Track"))</f>
        <v/>
      </c>
    </row>
    <row r="17">
      <c r="A17" t="inlineStr">
        <is>
          <t>Fabrication/stitching</t>
        </is>
      </c>
      <c r="B17" s="1" t="n">
        <v>46139</v>
      </c>
      <c r="C17" s="1" t="n">
        <v>46154</v>
      </c>
      <c r="D17" t="n">
        <v>15</v>
      </c>
      <c r="E17" t="n">
        <v>28</v>
      </c>
      <c r="F17">
        <f>IF(B17-TODAY()&lt;0,"Delayed",IF(B17-TODAY()&lt;=10,"Risk","On Track"))</f>
        <v/>
      </c>
    </row>
    <row r="18">
      <c r="A18" t="inlineStr">
        <is>
          <t>Finishing</t>
        </is>
      </c>
      <c r="B18" s="1" t="n">
        <v>46154</v>
      </c>
      <c r="C18" s="1" t="n">
        <v>46156</v>
      </c>
      <c r="D18" t="n">
        <v>2</v>
      </c>
      <c r="E18" t="n">
        <v>43</v>
      </c>
      <c r="F18">
        <f>IF(B18-TODAY()&lt;0,"Delayed",IF(B18-TODAY()&lt;=10,"Risk","On Track"))</f>
        <v/>
      </c>
    </row>
    <row r="19">
      <c r="A19" t="inlineStr">
        <is>
          <t>Packing</t>
        </is>
      </c>
      <c r="B19" s="1" t="n">
        <v>46156</v>
      </c>
      <c r="C19" s="1" t="n">
        <v>46158</v>
      </c>
      <c r="D19" t="n">
        <v>2</v>
      </c>
      <c r="E19" t="n">
        <v>45</v>
      </c>
      <c r="F19">
        <f>IF(B19-TODAY()&lt;0,"Delayed",IF(B19-TODAY()&lt;=10,"Risk","On Track"))</f>
        <v/>
      </c>
    </row>
    <row r="20">
      <c r="A20" t="inlineStr">
        <is>
          <t>Inspection</t>
        </is>
      </c>
      <c r="B20" s="1" t="n">
        <v>46158</v>
      </c>
      <c r="C20" s="1" t="n">
        <v>46160</v>
      </c>
      <c r="D20" t="n">
        <v>2</v>
      </c>
      <c r="E20" t="n">
        <v>47</v>
      </c>
      <c r="F20">
        <f>IF(B20-TODAY()&lt;0,"Delayed",IF(B20-TODAY()&lt;=10,"Risk","On Track"))</f>
        <v/>
      </c>
    </row>
    <row r="21">
      <c r="A21" t="inlineStr">
        <is>
          <t>Dispatch</t>
        </is>
      </c>
      <c r="B21" s="1" t="n">
        <v>46160</v>
      </c>
      <c r="C21" s="1" t="n">
        <v>46162</v>
      </c>
      <c r="D21" t="n">
        <v>2</v>
      </c>
      <c r="E21" t="n">
        <v>49</v>
      </c>
      <c r="F21">
        <f>IF(B21-TODAY()&lt;0,"Delayed",IF(B21-TODAY()&lt;=10,"Risk","On Track"))</f>
        <v/>
      </c>
    </row>
  </sheetData>
  <conditionalFormatting sqref="F6:F21">
    <cfRule type="expression" priority="1" dxfId="0">
      <formula>$F6="Risk"</formula>
    </cfRule>
    <cfRule type="expression" priority="2" dxfId="1">
      <formula>$F6="Delayed"</formula>
    </cfRule>
    <cfRule type="expression" priority="3" dxfId="2">
      <formula>$F6="On Track"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2026-02-13T15:23:47Z</dcterms:created>
  <dcterms:modified xsi:type="dcterms:W3CDTF">2026-02-13T15:23:47Z</dcterms:modified>
</cp:coreProperties>
</file>